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d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Status: type Sold or Listed. Only Sold trades count toward realized profit.</t>
        </r>
      </text>
    </comment>
  </commentList>
</comments>
</file>

<file path=xl/sharedStrings.xml><?xml version="1.0" encoding="utf-8"?>
<sst xmlns="http://schemas.openxmlformats.org/spreadsheetml/2006/main" count="48" uniqueCount="44">
  <si>
    <t xml:space="preserve">DonutSMP bot: profit vs cost</t>
  </si>
  <si>
    <t xml:space="preserve">All figures come from the Trades sheet. Blue = input.</t>
  </si>
  <si>
    <t xml:space="preserve">Assumptions</t>
  </si>
  <si>
    <t xml:space="preserve">Sale fee (% taken from each sale)</t>
  </si>
  <si>
    <t xml:space="preserve">Observed: two sales each raised the balance by exactly 15,000 on a 15K listing, so no fee was seen. Change this if you find one.</t>
  </si>
  <si>
    <t xml:space="preserve">Results</t>
  </si>
  <si>
    <t xml:space="preserve">Total spent on all purchases ($)</t>
  </si>
  <si>
    <t xml:space="preserve">Cost of sold trades ($)</t>
  </si>
  <si>
    <t xml:space="preserve">Revenue from sold trades after fee ($)</t>
  </si>
  <si>
    <t xml:space="preserve">Realized profit ($)</t>
  </si>
  <si>
    <t xml:space="preserve">Realized ROI on sold trades</t>
  </si>
  <si>
    <t xml:space="preserve">Cost tied up in unsold listings ($)</t>
  </si>
  <si>
    <t xml:space="preserve">Expected revenue if listings sell ($)</t>
  </si>
  <si>
    <t xml:space="preserve">Expected extra profit if listings sell ($)</t>
  </si>
  <si>
    <t xml:space="preserve">Total profit if everything sells ($)</t>
  </si>
  <si>
    <t xml:space="preserve">Trades sold / listed</t>
  </si>
  <si>
    <t xml:space="preserve">Balance check (from /bal readings in the logs)</t>
  </si>
  <si>
    <t xml:space="preserve">Balance before the first purchase ($)</t>
  </si>
  <si>
    <t xml:space="preserve">Latest balance seen ($)</t>
  </si>
  <si>
    <t xml:space="preserve">Actual change ($)</t>
  </si>
  <si>
    <t xml:space="preserve">Expected change = sold revenue - all purchases ($)</t>
  </si>
  <si>
    <t xml:space="preserve">Difference (should be 0)</t>
  </si>
  <si>
    <t xml:space="preserve">Sources: balances and prices are from your bot logs (/bal output, "You bought/listed ..." chat lines). The 11,099 on trade 1 is the balance change, not the rounded "11K" shown in the listing.</t>
  </si>
  <si>
    <t xml:space="preserve">DonutSMP bot trades: cost vs profit</t>
  </si>
  <si>
    <t xml:space="preserve">Blue cells are inputs you can edit. Add a trade by typing in the next empty row (rows 5-54 feed the Summary). Status must be exactly Sold or Listed.</t>
  </si>
  <si>
    <t xml:space="preserve">#</t>
  </si>
  <si>
    <t xml:space="preserve">Item</t>
  </si>
  <si>
    <t xml:space="preserve">Qty</t>
  </si>
  <si>
    <t xml:space="preserve">Cost total ($)</t>
  </si>
  <si>
    <t xml:space="preserve">Cost per item ($)</t>
  </si>
  <si>
    <t xml:space="preserve">List price total ($)</t>
  </si>
  <si>
    <t xml:space="preserve">List per item ($)</t>
  </si>
  <si>
    <t xml:space="preserve">Status</t>
  </si>
  <si>
    <t xml:space="preserve">Proceeds after fee ($)</t>
  </si>
  <si>
    <t xml:space="preserve">Profit if sold ($)</t>
  </si>
  <si>
    <t xml:space="preserve">ROI</t>
  </si>
  <si>
    <t xml:space="preserve">Evidence / notes</t>
  </si>
  <si>
    <t xml:space="preserve">Diamond</t>
  </si>
  <si>
    <t xml:space="preserve">Sold</t>
  </si>
  <si>
    <t xml:space="preserve">Bought via buynow (balance 1,478,100 -&gt; 1,467,001 = 11,099; listing showed "11K"). Listed 15K with sellnow. Balance later rose by exactly 15,000.</t>
  </si>
  <si>
    <t xml:space="preserve">Automatic cycle 1 (09:21): bought for 10,000, relisted 15K. Chat: "Venzfs bought your Diamond for $15K"; balance +15,000.</t>
  </si>
  <si>
    <t xml:space="preserve">Listed</t>
  </si>
  <si>
    <t xml:space="preserve">Automatic cycle 2 (09:24): 2 diamonds at 8,000 each, relisted as one stack for 30K. Not sold yet in the logs.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</si>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</sst>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$#,##0;&quot;($&quot;#,##0\);\-"/>
    <numFmt numFmtId="167" formatCode="0.0%;\(0.0%\);\-"/>
    <numFmt numFmtId="168" formatCode="@"/>
    <numFmt numFmtId="169" formatCode="\$#,##0"/>
    <numFmt numFmtId="170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vs proceeds vs profit per trade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Trades!D4</c:f>
              <c:strCache>
                <c:ptCount val="1"/>
                <c:pt idx="0">
                  <c:v>Cost total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Trades!$A$5:$A$7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Trades!$D$5:$D$7</c:f>
              <c:numCache>
                <c:formatCode>\$#,##0;"($"#,##0\);\-</c:formatCode>
                <c:ptCount val="3"/>
                <c:pt idx="0">
                  <c:v>11099</c:v>
                </c:pt>
                <c:pt idx="1">
                  <c:v>10000</c:v>
                </c:pt>
                <c:pt idx="2">
                  <c:v>16000</c:v>
                </c:pt>
              </c:numCache>
            </c:numRef>
          </c:val>
        </c:ser>
        <c:ser>
          <c:idx val="1"/>
          <c:order val="1"/>
          <c:tx>
            <c:strRef>
              <c:f>Trades!I4</c:f>
              <c:strCache>
                <c:ptCount val="1"/>
                <c:pt idx="0">
                  <c:v>Proceeds after fee ($)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Trades!$A$5:$A$7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Trades!$I$5:$I$7</c:f>
              <c:numCache>
                <c:formatCode>\$#,##0;"($"#,##0\);\-</c:formatCode>
                <c:ptCount val="3"/>
                <c:pt idx="0">
                  <c:v>15000</c:v>
                </c:pt>
                <c:pt idx="1">
                  <c:v>15000</c:v>
                </c:pt>
                <c:pt idx="2">
                  <c:v>30000</c:v>
                </c:pt>
              </c:numCache>
            </c:numRef>
          </c:val>
        </c:ser>
        <c:ser>
          <c:idx val="2"/>
          <c:order val="2"/>
          <c:tx>
            <c:strRef>
              <c:f>Trades!J4</c:f>
              <c:strCache>
                <c:ptCount val="1"/>
                <c:pt idx="0">
                  <c:v>Profit if sold ($)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Trades!$A$5:$A$7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Trades!$J$5:$J$7</c:f>
              <c:numCache>
                <c:formatCode>\$#,##0;"($"#,##0\);\-</c:formatCode>
                <c:ptCount val="3"/>
                <c:pt idx="0">
                  <c:v>3901</c:v>
                </c:pt>
                <c:pt idx="1">
                  <c:v>5000</c:v>
                </c:pt>
                <c:pt idx="2">
                  <c:v>14000</c:v>
                </c:pt>
              </c:numCache>
            </c:numRef>
          </c:val>
        </c:ser>
        <c:gapWidth val="150"/>
        <c:overlap val="0"/>
        <c:axId val="68347913"/>
        <c:axId val="47215364"/>
      </c:barChart>
      <c:catAx>
        <c:axId val="683479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15364"/>
        <c:crosses val="autoZero"/>
        <c:auto val="1"/>
        <c:lblAlgn val="ctr"/>
        <c:lblOffset val="100"/>
        <c:noMultiLvlLbl val="0"/>
      </c:catAx>
      <c:valAx>
        <c:axId val="472153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479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160920</xdr:rowOff>
    </xdr:from>
    <xdr:to>
      <xdr:col>2</xdr:col>
      <xdr:colOff>1545840</xdr:colOff>
      <xdr:row>44</xdr:row>
      <xdr:rowOff>162000</xdr:rowOff>
    </xdr:to>
    <xdr:graphicFrame>
      <xdr:nvGraphicFramePr>
        <xdr:cNvPr id="0" name="Chart 1"/>
        <xdr:cNvGraphicFramePr/>
      </xdr:nvGraphicFramePr>
      <xdr:xfrm>
        <a:off x="0" y="5334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6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0" t="s">
        <v>3</v>
      </c>
      <c r="B4" s="4" t="n">
        <v>0</v>
      </c>
      <c r="C4" s="5" t="s">
        <v>4</v>
      </c>
    </row>
    <row r="6" customFormat="false" ht="15" hidden="false" customHeight="false" outlineLevel="0" collapsed="false">
      <c r="A6" s="3" t="s">
        <v>5</v>
      </c>
    </row>
    <row r="7" customFormat="false" ht="15" hidden="false" customHeight="false" outlineLevel="0" collapsed="false">
      <c r="A7" s="6" t="s">
        <v>6</v>
      </c>
      <c r="B7" s="7" t="n">
        <f aca="false">SUM(Trades!D5:D54)</f>
        <v>37099</v>
      </c>
    </row>
    <row r="8" customFormat="false" ht="15" hidden="false" customHeight="false" outlineLevel="0" collapsed="false">
      <c r="A8" s="6" t="s">
        <v>7</v>
      </c>
      <c r="B8" s="7" t="n">
        <f aca="false">SUMIFS(Trades!D5:D54,Trades!H5:H54,"Sold")</f>
        <v>21099</v>
      </c>
    </row>
    <row r="9" customFormat="false" ht="15" hidden="false" customHeight="false" outlineLevel="0" collapsed="false">
      <c r="A9" s="6" t="s">
        <v>8</v>
      </c>
      <c r="B9" s="7" t="n">
        <f aca="false">SUMIFS(Trades!I5:I54,Trades!H5:H54,"Sold")</f>
        <v>30000</v>
      </c>
    </row>
    <row r="10" customFormat="false" ht="15" hidden="false" customHeight="false" outlineLevel="0" collapsed="false">
      <c r="A10" s="6" t="s">
        <v>9</v>
      </c>
      <c r="B10" s="8" t="n">
        <f aca="false">B9-B8</f>
        <v>8901</v>
      </c>
    </row>
    <row r="11" customFormat="false" ht="15" hidden="false" customHeight="false" outlineLevel="0" collapsed="false">
      <c r="A11" s="6" t="s">
        <v>10</v>
      </c>
      <c r="B11" s="9" t="n">
        <f aca="false">IF(B8&gt;0,B10/B8,0)</f>
        <v>0.42186833499218</v>
      </c>
    </row>
    <row r="12" customFormat="false" ht="15" hidden="false" customHeight="false" outlineLevel="0" collapsed="false">
      <c r="A12" s="6" t="s">
        <v>11</v>
      </c>
      <c r="B12" s="7" t="n">
        <f aca="false">SUMIFS(Trades!D5:D54,Trades!H5:H54,"Listed")</f>
        <v>16000</v>
      </c>
    </row>
    <row r="13" customFormat="false" ht="15" hidden="false" customHeight="false" outlineLevel="0" collapsed="false">
      <c r="A13" s="6" t="s">
        <v>12</v>
      </c>
      <c r="B13" s="7" t="n">
        <f aca="false">SUMIFS(Trades!I5:I54,Trades!H5:H54,"Listed")</f>
        <v>30000</v>
      </c>
    </row>
    <row r="14" customFormat="false" ht="15" hidden="false" customHeight="false" outlineLevel="0" collapsed="false">
      <c r="A14" s="6" t="s">
        <v>13</v>
      </c>
      <c r="B14" s="7" t="n">
        <f aca="false">B13-B12</f>
        <v>14000</v>
      </c>
    </row>
    <row r="15" customFormat="false" ht="15" hidden="false" customHeight="false" outlineLevel="0" collapsed="false">
      <c r="A15" s="6" t="s">
        <v>14</v>
      </c>
      <c r="B15" s="8" t="n">
        <f aca="false">B10+B14</f>
        <v>22901</v>
      </c>
    </row>
    <row r="16" customFormat="false" ht="15" hidden="false" customHeight="false" outlineLevel="0" collapsed="false">
      <c r="A16" s="6" t="s">
        <v>15</v>
      </c>
      <c r="B16" s="10" t="str">
        <f aca="false">COUNTIF(Trades!H5:H54,"Sold")&amp;" sold / "&amp;COUNTIF(Trades!H5:H54,"Listed")&amp;" listed"</f>
        <v>2 sold / 1 listed</v>
      </c>
    </row>
    <row r="19" customFormat="false" ht="15" hidden="false" customHeight="false" outlineLevel="0" collapsed="false">
      <c r="A19" s="3" t="s">
        <v>16</v>
      </c>
    </row>
    <row r="20" customFormat="false" ht="15" hidden="false" customHeight="false" outlineLevel="0" collapsed="false">
      <c r="A20" s="6" t="s">
        <v>17</v>
      </c>
      <c r="B20" s="11" t="n">
        <v>1478100</v>
      </c>
    </row>
    <row r="21" customFormat="false" ht="15" hidden="false" customHeight="false" outlineLevel="0" collapsed="false">
      <c r="A21" s="6" t="s">
        <v>18</v>
      </c>
      <c r="B21" s="11" t="n">
        <v>1471001</v>
      </c>
    </row>
    <row r="22" customFormat="false" ht="15" hidden="false" customHeight="false" outlineLevel="0" collapsed="false">
      <c r="A22" s="6" t="s">
        <v>19</v>
      </c>
      <c r="B22" s="7" t="n">
        <f aca="false">B21-B20</f>
        <v>-7099</v>
      </c>
    </row>
    <row r="23" customFormat="false" ht="15" hidden="false" customHeight="false" outlineLevel="0" collapsed="false">
      <c r="A23" s="6" t="s">
        <v>20</v>
      </c>
      <c r="B23" s="7" t="n">
        <f aca="false">B9-B7</f>
        <v>-7099</v>
      </c>
    </row>
    <row r="24" customFormat="false" ht="15" hidden="false" customHeight="false" outlineLevel="0" collapsed="false">
      <c r="A24" s="6" t="s">
        <v>21</v>
      </c>
      <c r="B24" s="8" t="n">
        <f aca="false">B22-B23</f>
        <v>0</v>
      </c>
      <c r="C24" s="3" t="str">
        <f aca="false">IF(B24=0,"OK: the trades table matches your real balance","Check: a purchase or sale is missing from Trades")</f>
        <v>OK: the trades table matches your real balance</v>
      </c>
    </row>
    <row r="26" customFormat="false" ht="15" hidden="false" customHeight="true" outlineLevel="0" collapsed="false">
      <c r="A26" s="12" t="s">
        <v>22</v>
      </c>
      <c r="B26" s="12"/>
      <c r="C26" s="12"/>
      <c r="D26" s="12"/>
      <c r="E26" s="12"/>
      <c r="F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</row>
  </sheetData>
  <mergeCells count="1">
    <mergeCell ref="A26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2" min="12" style="0" width="16"/>
    <col collapsed="false" customWidth="true" hidden="false" outlineLevel="0" max="13" min="13" style="0" width="70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31.5" hidden="false" customHeight="true" outlineLevel="0" collapsed="false">
      <c r="A4" s="13" t="s">
        <v>25</v>
      </c>
      <c r="B4" s="13" t="s">
        <v>26</v>
      </c>
      <c r="C4" s="13" t="s">
        <v>27</v>
      </c>
      <c r="D4" s="13" t="s">
        <v>28</v>
      </c>
      <c r="E4" s="13" t="s">
        <v>29</v>
      </c>
      <c r="F4" s="13" t="s">
        <v>30</v>
      </c>
      <c r="G4" s="13" t="s">
        <v>31</v>
      </c>
      <c r="H4" s="13" t="s">
        <v>32</v>
      </c>
      <c r="I4" s="13" t="s">
        <v>33</v>
      </c>
      <c r="J4" s="13" t="s">
        <v>34</v>
      </c>
      <c r="K4" s="13" t="s">
        <v>35</v>
      </c>
      <c r="L4" s="13" t="s">
        <v>9</v>
      </c>
      <c r="M4" s="13" t="s">
        <v>36</v>
      </c>
    </row>
    <row r="5" customFormat="false" ht="39.55" hidden="false" customHeight="false" outlineLevel="0" collapsed="false">
      <c r="A5" s="14" t="n">
        <v>1</v>
      </c>
      <c r="B5" s="14" t="s">
        <v>37</v>
      </c>
      <c r="C5" s="14" t="n">
        <v>1</v>
      </c>
      <c r="D5" s="11" t="n">
        <v>11099</v>
      </c>
      <c r="E5" s="7" t="n">
        <f aca="false">IF(C5&gt;0,D5/C5,0)</f>
        <v>11099</v>
      </c>
      <c r="F5" s="11" t="n">
        <v>15000</v>
      </c>
      <c r="G5" s="7" t="n">
        <f aca="false">IF(C5&gt;0,F5/C5,0)</f>
        <v>15000</v>
      </c>
      <c r="H5" s="14" t="s">
        <v>38</v>
      </c>
      <c r="I5" s="7" t="n">
        <f aca="false">F5*(1-Summary!$B$4)</f>
        <v>15000</v>
      </c>
      <c r="J5" s="7" t="n">
        <f aca="false">I5-D5</f>
        <v>3901</v>
      </c>
      <c r="K5" s="9" t="n">
        <f aca="false">IF(D5&gt;0,J5/D5,0)</f>
        <v>0.351473105685197</v>
      </c>
      <c r="L5" s="7" t="n">
        <f aca="false">IF(H5="Sold",J5,0)</f>
        <v>3901</v>
      </c>
      <c r="M5" s="15" t="s">
        <v>39</v>
      </c>
    </row>
    <row r="6" customFormat="false" ht="26.85" hidden="false" customHeight="false" outlineLevel="0" collapsed="false">
      <c r="A6" s="14" t="n">
        <v>2</v>
      </c>
      <c r="B6" s="14" t="s">
        <v>37</v>
      </c>
      <c r="C6" s="14" t="n">
        <v>1</v>
      </c>
      <c r="D6" s="11" t="n">
        <v>10000</v>
      </c>
      <c r="E6" s="7" t="n">
        <f aca="false">IF(C6&gt;0,D6/C6,0)</f>
        <v>10000</v>
      </c>
      <c r="F6" s="11" t="n">
        <v>15000</v>
      </c>
      <c r="G6" s="7" t="n">
        <f aca="false">IF(C6&gt;0,F6/C6,0)</f>
        <v>15000</v>
      </c>
      <c r="H6" s="14" t="s">
        <v>38</v>
      </c>
      <c r="I6" s="7" t="n">
        <f aca="false">F6*(1-Summary!$B$4)</f>
        <v>15000</v>
      </c>
      <c r="J6" s="7" t="n">
        <f aca="false">I6-D6</f>
        <v>5000</v>
      </c>
      <c r="K6" s="9" t="n">
        <f aca="false">IF(D6&gt;0,J6/D6,0)</f>
        <v>0.5</v>
      </c>
      <c r="L6" s="7" t="n">
        <f aca="false">IF(H6="Sold",J6,0)</f>
        <v>5000</v>
      </c>
      <c r="M6" s="15" t="s">
        <v>40</v>
      </c>
    </row>
    <row r="7" customFormat="false" ht="26.85" hidden="false" customHeight="false" outlineLevel="0" collapsed="false">
      <c r="A7" s="14" t="n">
        <v>3</v>
      </c>
      <c r="B7" s="14" t="s">
        <v>37</v>
      </c>
      <c r="C7" s="14" t="n">
        <v>2</v>
      </c>
      <c r="D7" s="11" t="n">
        <v>16000</v>
      </c>
      <c r="E7" s="7" t="n">
        <f aca="false">IF(C7&gt;0,D7/C7,0)</f>
        <v>8000</v>
      </c>
      <c r="F7" s="11" t="n">
        <v>30000</v>
      </c>
      <c r="G7" s="7" t="n">
        <f aca="false">IF(C7&gt;0,F7/C7,0)</f>
        <v>15000</v>
      </c>
      <c r="H7" s="14" t="s">
        <v>41</v>
      </c>
      <c r="I7" s="7" t="n">
        <f aca="false">F7*(1-Summary!$B$4)</f>
        <v>30000</v>
      </c>
      <c r="J7" s="7" t="n">
        <f aca="false">I7-D7</f>
        <v>14000</v>
      </c>
      <c r="K7" s="9" t="n">
        <f aca="false">IF(D7&gt;0,J7/D7,0)</f>
        <v>0.875</v>
      </c>
      <c r="L7" s="7" t="n">
        <f aca="false">IF(H7="Sold",J7,0)</f>
        <v>0</v>
      </c>
      <c r="M7" s="15" t="s">
        <v>42</v>
      </c>
    </row>
    <row r="8" customFormat="false" ht="15" hidden="false" customHeight="false" outlineLevel="0" collapsed="false">
      <c r="A8" s="6"/>
      <c r="B8" s="6"/>
      <c r="C8" s="6"/>
      <c r="D8" s="7"/>
      <c r="E8" s="7" t="n">
        <f aca="false">IF(C8&gt;0,D8/C8,0)</f>
        <v>0</v>
      </c>
      <c r="F8" s="7"/>
      <c r="G8" s="7" t="n">
        <f aca="false">IF(C8&gt;0,F8/C8,0)</f>
        <v>0</v>
      </c>
      <c r="H8" s="6"/>
      <c r="I8" s="7" t="n">
        <f aca="false">IF(F8&gt;0,F8*(1-Summary!$B$4),0)</f>
        <v>0</v>
      </c>
      <c r="J8" s="7" t="n">
        <f aca="false">IF(F8&gt;0,I8-D8,0)</f>
        <v>0</v>
      </c>
      <c r="K8" s="9" t="n">
        <f aca="false">IF(D8&gt;0,J8/D8,0)</f>
        <v>0</v>
      </c>
      <c r="L8" s="7" t="n">
        <f aca="false">IF(H8="Sold",J8,0)</f>
        <v>0</v>
      </c>
      <c r="M8" s="16"/>
    </row>
    <row r="9" customFormat="false" ht="15" hidden="false" customHeight="false" outlineLevel="0" collapsed="false">
      <c r="A9" s="6"/>
      <c r="B9" s="6"/>
      <c r="C9" s="6"/>
      <c r="D9" s="7"/>
      <c r="E9" s="7" t="n">
        <f aca="false">IF(C9&gt;0,D9/C9,0)</f>
        <v>0</v>
      </c>
      <c r="F9" s="7"/>
      <c r="G9" s="7" t="n">
        <f aca="false">IF(C9&gt;0,F9/C9,0)</f>
        <v>0</v>
      </c>
      <c r="H9" s="6"/>
      <c r="I9" s="7" t="n">
        <f aca="false">IF(F9&gt;0,F9*(1-Summary!$B$4),0)</f>
        <v>0</v>
      </c>
      <c r="J9" s="7" t="n">
        <f aca="false">IF(F9&gt;0,I9-D9,0)</f>
        <v>0</v>
      </c>
      <c r="K9" s="9" t="n">
        <f aca="false">IF(D9&gt;0,J9/D9,0)</f>
        <v>0</v>
      </c>
      <c r="L9" s="7" t="n">
        <f aca="false">IF(H9="Sold",J9,0)</f>
        <v>0</v>
      </c>
      <c r="M9" s="16"/>
    </row>
    <row r="10" customFormat="false" ht="15" hidden="false" customHeight="false" outlineLevel="0" collapsed="false">
      <c r="A10" s="6"/>
      <c r="B10" s="6"/>
      <c r="C10" s="6"/>
      <c r="D10" s="7"/>
      <c r="E10" s="7" t="n">
        <f aca="false">IF(C10&gt;0,D10/C10,0)</f>
        <v>0</v>
      </c>
      <c r="F10" s="7"/>
      <c r="G10" s="7" t="n">
        <f aca="false">IF(C10&gt;0,F10/C10,0)</f>
        <v>0</v>
      </c>
      <c r="H10" s="6"/>
      <c r="I10" s="7" t="n">
        <f aca="false">IF(F10&gt;0,F10*(1-Summary!$B$4),0)</f>
        <v>0</v>
      </c>
      <c r="J10" s="7" t="n">
        <f aca="false">IF(F10&gt;0,I10-D10,0)</f>
        <v>0</v>
      </c>
      <c r="K10" s="9" t="n">
        <f aca="false">IF(D10&gt;0,J10/D10,0)</f>
        <v>0</v>
      </c>
      <c r="L10" s="7" t="n">
        <f aca="false">IF(H10="Sold",J10,0)</f>
        <v>0</v>
      </c>
      <c r="M10" s="16"/>
    </row>
    <row r="11" customFormat="false" ht="15" hidden="false" customHeight="false" outlineLevel="0" collapsed="false">
      <c r="A11" s="6"/>
      <c r="B11" s="6"/>
      <c r="C11" s="6"/>
      <c r="D11" s="7"/>
      <c r="E11" s="7" t="n">
        <f aca="false">IF(C11&gt;0,D11/C11,0)</f>
        <v>0</v>
      </c>
      <c r="F11" s="7"/>
      <c r="G11" s="7" t="n">
        <f aca="false">IF(C11&gt;0,F11/C11,0)</f>
        <v>0</v>
      </c>
      <c r="H11" s="6"/>
      <c r="I11" s="7" t="n">
        <f aca="false">IF(F11&gt;0,F11*(1-Summary!$B$4),0)</f>
        <v>0</v>
      </c>
      <c r="J11" s="7" t="n">
        <f aca="false">IF(F11&gt;0,I11-D11,0)</f>
        <v>0</v>
      </c>
      <c r="K11" s="9" t="n">
        <f aca="false">IF(D11&gt;0,J11/D11,0)</f>
        <v>0</v>
      </c>
      <c r="L11" s="7" t="n">
        <f aca="false">IF(H11="Sold",J11,0)</f>
        <v>0</v>
      </c>
      <c r="M11" s="16"/>
    </row>
    <row r="12" customFormat="false" ht="15" hidden="false" customHeight="false" outlineLevel="0" collapsed="false">
      <c r="A12" s="6"/>
      <c r="B12" s="6"/>
      <c r="C12" s="6"/>
      <c r="D12" s="7"/>
      <c r="E12" s="7" t="n">
        <f aca="false">IF(C12&gt;0,D12/C12,0)</f>
        <v>0</v>
      </c>
      <c r="F12" s="7"/>
      <c r="G12" s="7" t="n">
        <f aca="false">IF(C12&gt;0,F12/C12,0)</f>
        <v>0</v>
      </c>
      <c r="H12" s="6"/>
      <c r="I12" s="7" t="n">
        <f aca="false">IF(F12&gt;0,F12*(1-Summary!$B$4),0)</f>
        <v>0</v>
      </c>
      <c r="J12" s="7" t="n">
        <f aca="false">IF(F12&gt;0,I12-D12,0)</f>
        <v>0</v>
      </c>
      <c r="K12" s="9" t="n">
        <f aca="false">IF(D12&gt;0,J12/D12,0)</f>
        <v>0</v>
      </c>
      <c r="L12" s="7" t="n">
        <f aca="false">IF(H12="Sold",J12,0)</f>
        <v>0</v>
      </c>
      <c r="M12" s="16"/>
    </row>
    <row r="13" customFormat="false" ht="15" hidden="false" customHeight="false" outlineLevel="0" collapsed="false">
      <c r="A13" s="6"/>
      <c r="B13" s="6"/>
      <c r="C13" s="6"/>
      <c r="D13" s="7"/>
      <c r="E13" s="7" t="n">
        <f aca="false">IF(C13&gt;0,D13/C13,0)</f>
        <v>0</v>
      </c>
      <c r="F13" s="7"/>
      <c r="G13" s="7" t="n">
        <f aca="false">IF(C13&gt;0,F13/C13,0)</f>
        <v>0</v>
      </c>
      <c r="H13" s="6"/>
      <c r="I13" s="7" t="n">
        <f aca="false">IF(F13&gt;0,F13*(1-Summary!$B$4),0)</f>
        <v>0</v>
      </c>
      <c r="J13" s="7" t="n">
        <f aca="false">IF(F13&gt;0,I13-D13,0)</f>
        <v>0</v>
      </c>
      <c r="K13" s="9" t="n">
        <f aca="false">IF(D13&gt;0,J13/D13,0)</f>
        <v>0</v>
      </c>
      <c r="L13" s="7" t="n">
        <f aca="false">IF(H13="Sold",J13,0)</f>
        <v>0</v>
      </c>
      <c r="M13" s="16"/>
    </row>
    <row r="14" customFormat="false" ht="15" hidden="false" customHeight="false" outlineLevel="0" collapsed="false">
      <c r="A14" s="6"/>
      <c r="B14" s="6"/>
      <c r="C14" s="6"/>
      <c r="D14" s="7"/>
      <c r="E14" s="7" t="n">
        <f aca="false">IF(C14&gt;0,D14/C14,0)</f>
        <v>0</v>
      </c>
      <c r="F14" s="7"/>
      <c r="G14" s="7" t="n">
        <f aca="false">IF(C14&gt;0,F14/C14,0)</f>
        <v>0</v>
      </c>
      <c r="H14" s="6"/>
      <c r="I14" s="7" t="n">
        <f aca="false">IF(F14&gt;0,F14*(1-Summary!$B$4),0)</f>
        <v>0</v>
      </c>
      <c r="J14" s="7" t="n">
        <f aca="false">IF(F14&gt;0,I14-D14,0)</f>
        <v>0</v>
      </c>
      <c r="K14" s="9" t="n">
        <f aca="false">IF(D14&gt;0,J14/D14,0)</f>
        <v>0</v>
      </c>
      <c r="L14" s="7" t="n">
        <f aca="false">IF(H14="Sold",J14,0)</f>
        <v>0</v>
      </c>
      <c r="M14" s="16"/>
    </row>
    <row r="15" customFormat="false" ht="15" hidden="false" customHeight="false" outlineLevel="0" collapsed="false">
      <c r="A15" s="6"/>
      <c r="B15" s="6"/>
      <c r="C15" s="6"/>
      <c r="D15" s="7"/>
      <c r="E15" s="7" t="n">
        <f aca="false">IF(C15&gt;0,D15/C15,0)</f>
        <v>0</v>
      </c>
      <c r="F15" s="7"/>
      <c r="G15" s="7" t="n">
        <f aca="false">IF(C15&gt;0,F15/C15,0)</f>
        <v>0</v>
      </c>
      <c r="H15" s="6"/>
      <c r="I15" s="7" t="n">
        <f aca="false">IF(F15&gt;0,F15*(1-Summary!$B$4),0)</f>
        <v>0</v>
      </c>
      <c r="J15" s="7" t="n">
        <f aca="false">IF(F15&gt;0,I15-D15,0)</f>
        <v>0</v>
      </c>
      <c r="K15" s="9" t="n">
        <f aca="false">IF(D15&gt;0,J15/D15,0)</f>
        <v>0</v>
      </c>
      <c r="L15" s="7" t="n">
        <f aca="false">IF(H15="Sold",J15,0)</f>
        <v>0</v>
      </c>
      <c r="M15" s="16"/>
    </row>
    <row r="16" customFormat="false" ht="15" hidden="false" customHeight="false" outlineLevel="0" collapsed="false">
      <c r="A16" s="6"/>
      <c r="B16" s="6"/>
      <c r="C16" s="6"/>
      <c r="D16" s="7"/>
      <c r="E16" s="7" t="n">
        <f aca="false">IF(C16&gt;0,D16/C16,0)</f>
        <v>0</v>
      </c>
      <c r="F16" s="7"/>
      <c r="G16" s="7" t="n">
        <f aca="false">IF(C16&gt;0,F16/C16,0)</f>
        <v>0</v>
      </c>
      <c r="H16" s="6"/>
      <c r="I16" s="7" t="n">
        <f aca="false">IF(F16&gt;0,F16*(1-Summary!$B$4),0)</f>
        <v>0</v>
      </c>
      <c r="J16" s="7" t="n">
        <f aca="false">IF(F16&gt;0,I16-D16,0)</f>
        <v>0</v>
      </c>
      <c r="K16" s="9" t="n">
        <f aca="false">IF(D16&gt;0,J16/D16,0)</f>
        <v>0</v>
      </c>
      <c r="L16" s="7" t="n">
        <f aca="false">IF(H16="Sold",J16,0)</f>
        <v>0</v>
      </c>
      <c r="M16" s="16"/>
    </row>
    <row r="17" customFormat="false" ht="15" hidden="false" customHeight="false" outlineLevel="0" collapsed="false">
      <c r="A17" s="6"/>
      <c r="B17" s="6"/>
      <c r="C17" s="6"/>
      <c r="D17" s="7"/>
      <c r="E17" s="7" t="n">
        <f aca="false">IF(C17&gt;0,D17/C17,0)</f>
        <v>0</v>
      </c>
      <c r="F17" s="7"/>
      <c r="G17" s="7" t="n">
        <f aca="false">IF(C17&gt;0,F17/C17,0)</f>
        <v>0</v>
      </c>
      <c r="H17" s="6"/>
      <c r="I17" s="7" t="n">
        <f aca="false">IF(F17&gt;0,F17*(1-Summary!$B$4),0)</f>
        <v>0</v>
      </c>
      <c r="J17" s="7" t="n">
        <f aca="false">IF(F17&gt;0,I17-D17,0)</f>
        <v>0</v>
      </c>
      <c r="K17" s="9" t="n">
        <f aca="false">IF(D17&gt;0,J17/D17,0)</f>
        <v>0</v>
      </c>
      <c r="L17" s="7" t="n">
        <f aca="false">IF(H17="Sold",J17,0)</f>
        <v>0</v>
      </c>
      <c r="M17" s="16"/>
    </row>
    <row r="18" customFormat="false" ht="15" hidden="false" customHeight="false" outlineLevel="0" collapsed="false">
      <c r="A18" s="6"/>
      <c r="B18" s="6"/>
      <c r="C18" s="6"/>
      <c r="D18" s="7"/>
      <c r="E18" s="7" t="n">
        <f aca="false">IF(C18&gt;0,D18/C18,0)</f>
        <v>0</v>
      </c>
      <c r="F18" s="7"/>
      <c r="G18" s="7" t="n">
        <f aca="false">IF(C18&gt;0,F18/C18,0)</f>
        <v>0</v>
      </c>
      <c r="H18" s="6"/>
      <c r="I18" s="7" t="n">
        <f aca="false">IF(F18&gt;0,F18*(1-Summary!$B$4),0)</f>
        <v>0</v>
      </c>
      <c r="J18" s="7" t="n">
        <f aca="false">IF(F18&gt;0,I18-D18,0)</f>
        <v>0</v>
      </c>
      <c r="K18" s="9" t="n">
        <f aca="false">IF(D18&gt;0,J18/D18,0)</f>
        <v>0</v>
      </c>
      <c r="L18" s="7" t="n">
        <f aca="false">IF(H18="Sold",J18,0)</f>
        <v>0</v>
      </c>
      <c r="M18" s="16"/>
    </row>
    <row r="19" customFormat="false" ht="15" hidden="false" customHeight="false" outlineLevel="0" collapsed="false">
      <c r="A19" s="6"/>
      <c r="B19" s="6"/>
      <c r="C19" s="6"/>
      <c r="D19" s="7"/>
      <c r="E19" s="7" t="n">
        <f aca="false">IF(C19&gt;0,D19/C19,0)</f>
        <v>0</v>
      </c>
      <c r="F19" s="7"/>
      <c r="G19" s="7" t="n">
        <f aca="false">IF(C19&gt;0,F19/C19,0)</f>
        <v>0</v>
      </c>
      <c r="H19" s="6"/>
      <c r="I19" s="7" t="n">
        <f aca="false">IF(F19&gt;0,F19*(1-Summary!$B$4),0)</f>
        <v>0</v>
      </c>
      <c r="J19" s="7" t="n">
        <f aca="false">IF(F19&gt;0,I19-D19,0)</f>
        <v>0</v>
      </c>
      <c r="K19" s="9" t="n">
        <f aca="false">IF(D19&gt;0,J19/D19,0)</f>
        <v>0</v>
      </c>
      <c r="L19" s="7" t="n">
        <f aca="false">IF(H19="Sold",J19,0)</f>
        <v>0</v>
      </c>
      <c r="M19" s="16"/>
    </row>
    <row r="20" customFormat="false" ht="15" hidden="false" customHeight="false" outlineLevel="0" collapsed="false">
      <c r="A20" s="6"/>
      <c r="B20" s="6"/>
      <c r="C20" s="6"/>
      <c r="D20" s="7"/>
      <c r="E20" s="7" t="n">
        <f aca="false">IF(C20&gt;0,D20/C20,0)</f>
        <v>0</v>
      </c>
      <c r="F20" s="7"/>
      <c r="G20" s="7" t="n">
        <f aca="false">IF(C20&gt;0,F20/C20,0)</f>
        <v>0</v>
      </c>
      <c r="H20" s="6"/>
      <c r="I20" s="7" t="n">
        <f aca="false">IF(F20&gt;0,F20*(1-Summary!$B$4),0)</f>
        <v>0</v>
      </c>
      <c r="J20" s="7" t="n">
        <f aca="false">IF(F20&gt;0,I20-D20,0)</f>
        <v>0</v>
      </c>
      <c r="K20" s="9" t="n">
        <f aca="false">IF(D20&gt;0,J20/D20,0)</f>
        <v>0</v>
      </c>
      <c r="L20" s="7" t="n">
        <f aca="false">IF(H20="Sold",J20,0)</f>
        <v>0</v>
      </c>
      <c r="M20" s="16"/>
    </row>
    <row r="21" customFormat="false" ht="15" hidden="false" customHeight="false" outlineLevel="0" collapsed="false">
      <c r="A21" s="6"/>
      <c r="B21" s="6"/>
      <c r="C21" s="6"/>
      <c r="D21" s="7"/>
      <c r="E21" s="7" t="n">
        <f aca="false">IF(C21&gt;0,D21/C21,0)</f>
        <v>0</v>
      </c>
      <c r="F21" s="7"/>
      <c r="G21" s="7" t="n">
        <f aca="false">IF(C21&gt;0,F21/C21,0)</f>
        <v>0</v>
      </c>
      <c r="H21" s="6"/>
      <c r="I21" s="7" t="n">
        <f aca="false">IF(F21&gt;0,F21*(1-Summary!$B$4),0)</f>
        <v>0</v>
      </c>
      <c r="J21" s="7" t="n">
        <f aca="false">IF(F21&gt;0,I21-D21,0)</f>
        <v>0</v>
      </c>
      <c r="K21" s="9" t="n">
        <f aca="false">IF(D21&gt;0,J21/D21,0)</f>
        <v>0</v>
      </c>
      <c r="L21" s="7" t="n">
        <f aca="false">IF(H21="Sold",J21,0)</f>
        <v>0</v>
      </c>
      <c r="M21" s="16"/>
    </row>
    <row r="22" customFormat="false" ht="15" hidden="false" customHeight="false" outlineLevel="0" collapsed="false">
      <c r="A22" s="6"/>
      <c r="B22" s="6"/>
      <c r="C22" s="6"/>
      <c r="D22" s="7"/>
      <c r="E22" s="7" t="n">
        <f aca="false">IF(C22&gt;0,D22/C22,0)</f>
        <v>0</v>
      </c>
      <c r="F22" s="7"/>
      <c r="G22" s="7" t="n">
        <f aca="false">IF(C22&gt;0,F22/C22,0)</f>
        <v>0</v>
      </c>
      <c r="H22" s="6"/>
      <c r="I22" s="7" t="n">
        <f aca="false">IF(F22&gt;0,F22*(1-Summary!$B$4),0)</f>
        <v>0</v>
      </c>
      <c r="J22" s="7" t="n">
        <f aca="false">IF(F22&gt;0,I22-D22,0)</f>
        <v>0</v>
      </c>
      <c r="K22" s="9" t="n">
        <f aca="false">IF(D22&gt;0,J22/D22,0)</f>
        <v>0</v>
      </c>
      <c r="L22" s="7" t="n">
        <f aca="false">IF(H22="Sold",J22,0)</f>
        <v>0</v>
      </c>
      <c r="M22" s="16"/>
    </row>
    <row r="23" customFormat="false" ht="15" hidden="false" customHeight="false" outlineLevel="0" collapsed="false">
      <c r="A23" s="6"/>
      <c r="B23" s="6"/>
      <c r="C23" s="6"/>
      <c r="D23" s="7"/>
      <c r="E23" s="7" t="n">
        <f aca="false">IF(C23&gt;0,D23/C23,0)</f>
        <v>0</v>
      </c>
      <c r="F23" s="7"/>
      <c r="G23" s="7" t="n">
        <f aca="false">IF(C23&gt;0,F23/C23,0)</f>
        <v>0</v>
      </c>
      <c r="H23" s="6"/>
      <c r="I23" s="7" t="n">
        <f aca="false">IF(F23&gt;0,F23*(1-Summary!$B$4),0)</f>
        <v>0</v>
      </c>
      <c r="J23" s="7" t="n">
        <f aca="false">IF(F23&gt;0,I23-D23,0)</f>
        <v>0</v>
      </c>
      <c r="K23" s="9" t="n">
        <f aca="false">IF(D23&gt;0,J23/D23,0)</f>
        <v>0</v>
      </c>
      <c r="L23" s="7" t="n">
        <f aca="false">IF(H23="Sold",J23,0)</f>
        <v>0</v>
      </c>
      <c r="M23" s="16"/>
    </row>
    <row r="24" customFormat="false" ht="15" hidden="false" customHeight="false" outlineLevel="0" collapsed="false">
      <c r="A24" s="6"/>
      <c r="B24" s="6"/>
      <c r="C24" s="6"/>
      <c r="D24" s="7"/>
      <c r="E24" s="7" t="n">
        <f aca="false">IF(C24&gt;0,D24/C24,0)</f>
        <v>0</v>
      </c>
      <c r="F24" s="7"/>
      <c r="G24" s="7" t="n">
        <f aca="false">IF(C24&gt;0,F24/C24,0)</f>
        <v>0</v>
      </c>
      <c r="H24" s="6"/>
      <c r="I24" s="7" t="n">
        <f aca="false">IF(F24&gt;0,F24*(1-Summary!$B$4),0)</f>
        <v>0</v>
      </c>
      <c r="J24" s="7" t="n">
        <f aca="false">IF(F24&gt;0,I24-D24,0)</f>
        <v>0</v>
      </c>
      <c r="K24" s="9" t="n">
        <f aca="false">IF(D24&gt;0,J24/D24,0)</f>
        <v>0</v>
      </c>
      <c r="L24" s="7" t="n">
        <f aca="false">IF(H24="Sold",J24,0)</f>
        <v>0</v>
      </c>
      <c r="M24" s="16"/>
    </row>
    <row r="25" customFormat="false" ht="15" hidden="false" customHeight="false" outlineLevel="0" collapsed="false">
      <c r="A25" s="6"/>
      <c r="B25" s="6"/>
      <c r="C25" s="6"/>
      <c r="D25" s="7"/>
      <c r="E25" s="7" t="n">
        <f aca="false">IF(C25&gt;0,D25/C25,0)</f>
        <v>0</v>
      </c>
      <c r="F25" s="7"/>
      <c r="G25" s="7" t="n">
        <f aca="false">IF(C25&gt;0,F25/C25,0)</f>
        <v>0</v>
      </c>
      <c r="H25" s="6"/>
      <c r="I25" s="7" t="n">
        <f aca="false">IF(F25&gt;0,F25*(1-Summary!$B$4),0)</f>
        <v>0</v>
      </c>
      <c r="J25" s="7" t="n">
        <f aca="false">IF(F25&gt;0,I25-D25,0)</f>
        <v>0</v>
      </c>
      <c r="K25" s="9" t="n">
        <f aca="false">IF(D25&gt;0,J25/D25,0)</f>
        <v>0</v>
      </c>
      <c r="L25" s="7" t="n">
        <f aca="false">IF(H25="Sold",J25,0)</f>
        <v>0</v>
      </c>
      <c r="M25" s="16"/>
    </row>
    <row r="26" customFormat="false" ht="15" hidden="false" customHeight="false" outlineLevel="0" collapsed="false">
      <c r="A26" s="6"/>
      <c r="B26" s="6"/>
      <c r="C26" s="6"/>
      <c r="D26" s="7"/>
      <c r="E26" s="7" t="n">
        <f aca="false">IF(C26&gt;0,D26/C26,0)</f>
        <v>0</v>
      </c>
      <c r="F26" s="7"/>
      <c r="G26" s="7" t="n">
        <f aca="false">IF(C26&gt;0,F26/C26,0)</f>
        <v>0</v>
      </c>
      <c r="H26" s="6"/>
      <c r="I26" s="7" t="n">
        <f aca="false">IF(F26&gt;0,F26*(1-Summary!$B$4),0)</f>
        <v>0</v>
      </c>
      <c r="J26" s="7" t="n">
        <f aca="false">IF(F26&gt;0,I26-D26,0)</f>
        <v>0</v>
      </c>
      <c r="K26" s="9" t="n">
        <f aca="false">IF(D26&gt;0,J26/D26,0)</f>
        <v>0</v>
      </c>
      <c r="L26" s="7" t="n">
        <f aca="false">IF(H26="Sold",J26,0)</f>
        <v>0</v>
      </c>
      <c r="M26" s="16"/>
    </row>
    <row r="27" customFormat="false" ht="15" hidden="false" customHeight="false" outlineLevel="0" collapsed="false">
      <c r="A27" s="6"/>
      <c r="B27" s="6"/>
      <c r="C27" s="6"/>
      <c r="D27" s="7"/>
      <c r="E27" s="7" t="n">
        <f aca="false">IF(C27&gt;0,D27/C27,0)</f>
        <v>0</v>
      </c>
      <c r="F27" s="7"/>
      <c r="G27" s="7" t="n">
        <f aca="false">IF(C27&gt;0,F27/C27,0)</f>
        <v>0</v>
      </c>
      <c r="H27" s="6"/>
      <c r="I27" s="7" t="n">
        <f aca="false">IF(F27&gt;0,F27*(1-Summary!$B$4),0)</f>
        <v>0</v>
      </c>
      <c r="J27" s="7" t="n">
        <f aca="false">IF(F27&gt;0,I27-D27,0)</f>
        <v>0</v>
      </c>
      <c r="K27" s="9" t="n">
        <f aca="false">IF(D27&gt;0,J27/D27,0)</f>
        <v>0</v>
      </c>
      <c r="L27" s="7" t="n">
        <f aca="false">IF(H27="Sold",J27,0)</f>
        <v>0</v>
      </c>
      <c r="M27" s="16"/>
    </row>
    <row r="28" customFormat="false" ht="15" hidden="false" customHeight="false" outlineLevel="0" collapsed="false">
      <c r="A28" s="6"/>
      <c r="B28" s="6"/>
      <c r="C28" s="6"/>
      <c r="D28" s="7"/>
      <c r="E28" s="7" t="n">
        <f aca="false">IF(C28&gt;0,D28/C28,0)</f>
        <v>0</v>
      </c>
      <c r="F28" s="7"/>
      <c r="G28" s="7" t="n">
        <f aca="false">IF(C28&gt;0,F28/C28,0)</f>
        <v>0</v>
      </c>
      <c r="H28" s="6"/>
      <c r="I28" s="7" t="n">
        <f aca="false">IF(F28&gt;0,F28*(1-Summary!$B$4),0)</f>
        <v>0</v>
      </c>
      <c r="J28" s="7" t="n">
        <f aca="false">IF(F28&gt;0,I28-D28,0)</f>
        <v>0</v>
      </c>
      <c r="K28" s="9" t="n">
        <f aca="false">IF(D28&gt;0,J28/D28,0)</f>
        <v>0</v>
      </c>
      <c r="L28" s="7" t="n">
        <f aca="false">IF(H28="Sold",J28,0)</f>
        <v>0</v>
      </c>
      <c r="M28" s="16"/>
    </row>
    <row r="29" customFormat="false" ht="15" hidden="false" customHeight="false" outlineLevel="0" collapsed="false">
      <c r="A29" s="6"/>
      <c r="B29" s="6"/>
      <c r="C29" s="6"/>
      <c r="D29" s="7"/>
      <c r="E29" s="7" t="n">
        <f aca="false">IF(C29&gt;0,D29/C29,0)</f>
        <v>0</v>
      </c>
      <c r="F29" s="7"/>
      <c r="G29" s="7" t="n">
        <f aca="false">IF(C29&gt;0,F29/C29,0)</f>
        <v>0</v>
      </c>
      <c r="H29" s="6"/>
      <c r="I29" s="7" t="n">
        <f aca="false">IF(F29&gt;0,F29*(1-Summary!$B$4),0)</f>
        <v>0</v>
      </c>
      <c r="J29" s="7" t="n">
        <f aca="false">IF(F29&gt;0,I29-D29,0)</f>
        <v>0</v>
      </c>
      <c r="K29" s="9" t="n">
        <f aca="false">IF(D29&gt;0,J29/D29,0)</f>
        <v>0</v>
      </c>
      <c r="L29" s="7" t="n">
        <f aca="false">IF(H29="Sold",J29,0)</f>
        <v>0</v>
      </c>
      <c r="M29" s="16"/>
    </row>
    <row r="30" customFormat="false" ht="15" hidden="false" customHeight="false" outlineLevel="0" collapsed="false">
      <c r="A30" s="6"/>
      <c r="B30" s="6"/>
      <c r="C30" s="6"/>
      <c r="D30" s="7"/>
      <c r="E30" s="7" t="n">
        <f aca="false">IF(C30&gt;0,D30/C30,0)</f>
        <v>0</v>
      </c>
      <c r="F30" s="7"/>
      <c r="G30" s="7" t="n">
        <f aca="false">IF(C30&gt;0,F30/C30,0)</f>
        <v>0</v>
      </c>
      <c r="H30" s="6"/>
      <c r="I30" s="7" t="n">
        <f aca="false">IF(F30&gt;0,F30*(1-Summary!$B$4),0)</f>
        <v>0</v>
      </c>
      <c r="J30" s="7" t="n">
        <f aca="false">IF(F30&gt;0,I30-D30,0)</f>
        <v>0</v>
      </c>
      <c r="K30" s="9" t="n">
        <f aca="false">IF(D30&gt;0,J30/D30,0)</f>
        <v>0</v>
      </c>
      <c r="L30" s="7" t="n">
        <f aca="false">IF(H30="Sold",J30,0)</f>
        <v>0</v>
      </c>
      <c r="M30" s="16"/>
    </row>
    <row r="31" customFormat="false" ht="15" hidden="false" customHeight="false" outlineLevel="0" collapsed="false">
      <c r="A31" s="6"/>
      <c r="B31" s="6"/>
      <c r="C31" s="6"/>
      <c r="D31" s="7"/>
      <c r="E31" s="7" t="n">
        <f aca="false">IF(C31&gt;0,D31/C31,0)</f>
        <v>0</v>
      </c>
      <c r="F31" s="7"/>
      <c r="G31" s="7" t="n">
        <f aca="false">IF(C31&gt;0,F31/C31,0)</f>
        <v>0</v>
      </c>
      <c r="H31" s="6"/>
      <c r="I31" s="7" t="n">
        <f aca="false">IF(F31&gt;0,F31*(1-Summary!$B$4),0)</f>
        <v>0</v>
      </c>
      <c r="J31" s="7" t="n">
        <f aca="false">IF(F31&gt;0,I31-D31,0)</f>
        <v>0</v>
      </c>
      <c r="K31" s="9" t="n">
        <f aca="false">IF(D31&gt;0,J31/D31,0)</f>
        <v>0</v>
      </c>
      <c r="L31" s="7" t="n">
        <f aca="false">IF(H31="Sold",J31,0)</f>
        <v>0</v>
      </c>
      <c r="M31" s="16"/>
    </row>
    <row r="32" customFormat="false" ht="15" hidden="false" customHeight="false" outlineLevel="0" collapsed="false">
      <c r="A32" s="6"/>
      <c r="B32" s="6"/>
      <c r="C32" s="6"/>
      <c r="D32" s="7"/>
      <c r="E32" s="7" t="n">
        <f aca="false">IF(C32&gt;0,D32/C32,0)</f>
        <v>0</v>
      </c>
      <c r="F32" s="7"/>
      <c r="G32" s="7" t="n">
        <f aca="false">IF(C32&gt;0,F32/C32,0)</f>
        <v>0</v>
      </c>
      <c r="H32" s="6"/>
      <c r="I32" s="7" t="n">
        <f aca="false">IF(F32&gt;0,F32*(1-Summary!$B$4),0)</f>
        <v>0</v>
      </c>
      <c r="J32" s="7" t="n">
        <f aca="false">IF(F32&gt;0,I32-D32,0)</f>
        <v>0</v>
      </c>
      <c r="K32" s="9" t="n">
        <f aca="false">IF(D32&gt;0,J32/D32,0)</f>
        <v>0</v>
      </c>
      <c r="L32" s="7" t="n">
        <f aca="false">IF(H32="Sold",J32,0)</f>
        <v>0</v>
      </c>
      <c r="M32" s="16"/>
    </row>
    <row r="33" customFormat="false" ht="15" hidden="false" customHeight="false" outlineLevel="0" collapsed="false">
      <c r="A33" s="6"/>
      <c r="B33" s="6"/>
      <c r="C33" s="6"/>
      <c r="D33" s="7"/>
      <c r="E33" s="7" t="n">
        <f aca="false">IF(C33&gt;0,D33/C33,0)</f>
        <v>0</v>
      </c>
      <c r="F33" s="7"/>
      <c r="G33" s="7" t="n">
        <f aca="false">IF(C33&gt;0,F33/C33,0)</f>
        <v>0</v>
      </c>
      <c r="H33" s="6"/>
      <c r="I33" s="7" t="n">
        <f aca="false">IF(F33&gt;0,F33*(1-Summary!$B$4),0)</f>
        <v>0</v>
      </c>
      <c r="J33" s="7" t="n">
        <f aca="false">IF(F33&gt;0,I33-D33,0)</f>
        <v>0</v>
      </c>
      <c r="K33" s="9" t="n">
        <f aca="false">IF(D33&gt;0,J33/D33,0)</f>
        <v>0</v>
      </c>
      <c r="L33" s="7" t="n">
        <f aca="false">IF(H33="Sold",J33,0)</f>
        <v>0</v>
      </c>
      <c r="M33" s="16"/>
    </row>
    <row r="34" customFormat="false" ht="15" hidden="false" customHeight="false" outlineLevel="0" collapsed="false">
      <c r="A34" s="6"/>
      <c r="B34" s="6"/>
      <c r="C34" s="6"/>
      <c r="D34" s="7"/>
      <c r="E34" s="7" t="n">
        <f aca="false">IF(C34&gt;0,D34/C34,0)</f>
        <v>0</v>
      </c>
      <c r="F34" s="7"/>
      <c r="G34" s="7" t="n">
        <f aca="false">IF(C34&gt;0,F34/C34,0)</f>
        <v>0</v>
      </c>
      <c r="H34" s="6"/>
      <c r="I34" s="7" t="n">
        <f aca="false">IF(F34&gt;0,F34*(1-Summary!$B$4),0)</f>
        <v>0</v>
      </c>
      <c r="J34" s="7" t="n">
        <f aca="false">IF(F34&gt;0,I34-D34,0)</f>
        <v>0</v>
      </c>
      <c r="K34" s="9" t="n">
        <f aca="false">IF(D34&gt;0,J34/D34,0)</f>
        <v>0</v>
      </c>
      <c r="L34" s="7" t="n">
        <f aca="false">IF(H34="Sold",J34,0)</f>
        <v>0</v>
      </c>
      <c r="M34" s="16"/>
    </row>
    <row r="35" customFormat="false" ht="15" hidden="false" customHeight="false" outlineLevel="0" collapsed="false">
      <c r="A35" s="6"/>
      <c r="B35" s="6"/>
      <c r="C35" s="6"/>
      <c r="D35" s="7"/>
      <c r="E35" s="7" t="n">
        <f aca="false">IF(C35&gt;0,D35/C35,0)</f>
        <v>0</v>
      </c>
      <c r="F35" s="7"/>
      <c r="G35" s="7" t="n">
        <f aca="false">IF(C35&gt;0,F35/C35,0)</f>
        <v>0</v>
      </c>
      <c r="H35" s="6"/>
      <c r="I35" s="7" t="n">
        <f aca="false">IF(F35&gt;0,F35*(1-Summary!$B$4),0)</f>
        <v>0</v>
      </c>
      <c r="J35" s="7" t="n">
        <f aca="false">IF(F35&gt;0,I35-D35,0)</f>
        <v>0</v>
      </c>
      <c r="K35" s="9" t="n">
        <f aca="false">IF(D35&gt;0,J35/D35,0)</f>
        <v>0</v>
      </c>
      <c r="L35" s="7" t="n">
        <f aca="false">IF(H35="Sold",J35,0)</f>
        <v>0</v>
      </c>
      <c r="M35" s="16"/>
    </row>
    <row r="36" customFormat="false" ht="15" hidden="false" customHeight="false" outlineLevel="0" collapsed="false">
      <c r="A36" s="6"/>
      <c r="B36" s="6"/>
      <c r="C36" s="6"/>
      <c r="D36" s="7"/>
      <c r="E36" s="7" t="n">
        <f aca="false">IF(C36&gt;0,D36/C36,0)</f>
        <v>0</v>
      </c>
      <c r="F36" s="7"/>
      <c r="G36" s="7" t="n">
        <f aca="false">IF(C36&gt;0,F36/C36,0)</f>
        <v>0</v>
      </c>
      <c r="H36" s="6"/>
      <c r="I36" s="7" t="n">
        <f aca="false">IF(F36&gt;0,F36*(1-Summary!$B$4),0)</f>
        <v>0</v>
      </c>
      <c r="J36" s="7" t="n">
        <f aca="false">IF(F36&gt;0,I36-D36,0)</f>
        <v>0</v>
      </c>
      <c r="K36" s="9" t="n">
        <f aca="false">IF(D36&gt;0,J36/D36,0)</f>
        <v>0</v>
      </c>
      <c r="L36" s="7" t="n">
        <f aca="false">IF(H36="Sold",J36,0)</f>
        <v>0</v>
      </c>
      <c r="M36" s="16"/>
    </row>
    <row r="37" customFormat="false" ht="15" hidden="false" customHeight="false" outlineLevel="0" collapsed="false">
      <c r="A37" s="6"/>
      <c r="B37" s="6"/>
      <c r="C37" s="6"/>
      <c r="D37" s="7"/>
      <c r="E37" s="7" t="n">
        <f aca="false">IF(C37&gt;0,D37/C37,0)</f>
        <v>0</v>
      </c>
      <c r="F37" s="7"/>
      <c r="G37" s="7" t="n">
        <f aca="false">IF(C37&gt;0,F37/C37,0)</f>
        <v>0</v>
      </c>
      <c r="H37" s="6"/>
      <c r="I37" s="7" t="n">
        <f aca="false">IF(F37&gt;0,F37*(1-Summary!$B$4),0)</f>
        <v>0</v>
      </c>
      <c r="J37" s="7" t="n">
        <f aca="false">IF(F37&gt;0,I37-D37,0)</f>
        <v>0</v>
      </c>
      <c r="K37" s="9" t="n">
        <f aca="false">IF(D37&gt;0,J37/D37,0)</f>
        <v>0</v>
      </c>
      <c r="L37" s="7" t="n">
        <f aca="false">IF(H37="Sold",J37,0)</f>
        <v>0</v>
      </c>
      <c r="M37" s="16"/>
    </row>
    <row r="38" customFormat="false" ht="15" hidden="false" customHeight="false" outlineLevel="0" collapsed="false">
      <c r="A38" s="6"/>
      <c r="B38" s="6"/>
      <c r="C38" s="6"/>
      <c r="D38" s="7"/>
      <c r="E38" s="7" t="n">
        <f aca="false">IF(C38&gt;0,D38/C38,0)</f>
        <v>0</v>
      </c>
      <c r="F38" s="7"/>
      <c r="G38" s="7" t="n">
        <f aca="false">IF(C38&gt;0,F38/C38,0)</f>
        <v>0</v>
      </c>
      <c r="H38" s="6"/>
      <c r="I38" s="7" t="n">
        <f aca="false">IF(F38&gt;0,F38*(1-Summary!$B$4),0)</f>
        <v>0</v>
      </c>
      <c r="J38" s="7" t="n">
        <f aca="false">IF(F38&gt;0,I38-D38,0)</f>
        <v>0</v>
      </c>
      <c r="K38" s="9" t="n">
        <f aca="false">IF(D38&gt;0,J38/D38,0)</f>
        <v>0</v>
      </c>
      <c r="L38" s="7" t="n">
        <f aca="false">IF(H38="Sold",J38,0)</f>
        <v>0</v>
      </c>
      <c r="M38" s="16"/>
    </row>
    <row r="39" customFormat="false" ht="15" hidden="false" customHeight="false" outlineLevel="0" collapsed="false">
      <c r="A39" s="6"/>
      <c r="B39" s="6"/>
      <c r="C39" s="6"/>
      <c r="D39" s="7"/>
      <c r="E39" s="7" t="n">
        <f aca="false">IF(C39&gt;0,D39/C39,0)</f>
        <v>0</v>
      </c>
      <c r="F39" s="7"/>
      <c r="G39" s="7" t="n">
        <f aca="false">IF(C39&gt;0,F39/C39,0)</f>
        <v>0</v>
      </c>
      <c r="H39" s="6"/>
      <c r="I39" s="7" t="n">
        <f aca="false">IF(F39&gt;0,F39*(1-Summary!$B$4),0)</f>
        <v>0</v>
      </c>
      <c r="J39" s="7" t="n">
        <f aca="false">IF(F39&gt;0,I39-D39,0)</f>
        <v>0</v>
      </c>
      <c r="K39" s="9" t="n">
        <f aca="false">IF(D39&gt;0,J39/D39,0)</f>
        <v>0</v>
      </c>
      <c r="L39" s="7" t="n">
        <f aca="false">IF(H39="Sold",J39,0)</f>
        <v>0</v>
      </c>
      <c r="M39" s="16"/>
    </row>
    <row r="40" customFormat="false" ht="15" hidden="false" customHeight="false" outlineLevel="0" collapsed="false">
      <c r="A40" s="6"/>
      <c r="B40" s="6"/>
      <c r="C40" s="6"/>
      <c r="D40" s="7"/>
      <c r="E40" s="7" t="n">
        <f aca="false">IF(C40&gt;0,D40/C40,0)</f>
        <v>0</v>
      </c>
      <c r="F40" s="7"/>
      <c r="G40" s="7" t="n">
        <f aca="false">IF(C40&gt;0,F40/C40,0)</f>
        <v>0</v>
      </c>
      <c r="H40" s="6"/>
      <c r="I40" s="7" t="n">
        <f aca="false">IF(F40&gt;0,F40*(1-Summary!$B$4),0)</f>
        <v>0</v>
      </c>
      <c r="J40" s="7" t="n">
        <f aca="false">IF(F40&gt;0,I40-D40,0)</f>
        <v>0</v>
      </c>
      <c r="K40" s="9" t="n">
        <f aca="false">IF(D40&gt;0,J40/D40,0)</f>
        <v>0</v>
      </c>
      <c r="L40" s="7" t="n">
        <f aca="false">IF(H40="Sold",J40,0)</f>
        <v>0</v>
      </c>
      <c r="M40" s="16"/>
    </row>
    <row r="41" customFormat="false" ht="15" hidden="false" customHeight="false" outlineLevel="0" collapsed="false">
      <c r="A41" s="6"/>
      <c r="B41" s="6"/>
      <c r="C41" s="6"/>
      <c r="D41" s="7"/>
      <c r="E41" s="7" t="n">
        <f aca="false">IF(C41&gt;0,D41/C41,0)</f>
        <v>0</v>
      </c>
      <c r="F41" s="7"/>
      <c r="G41" s="7" t="n">
        <f aca="false">IF(C41&gt;0,F41/C41,0)</f>
        <v>0</v>
      </c>
      <c r="H41" s="6"/>
      <c r="I41" s="7" t="n">
        <f aca="false">IF(F41&gt;0,F41*(1-Summary!$B$4),0)</f>
        <v>0</v>
      </c>
      <c r="J41" s="7" t="n">
        <f aca="false">IF(F41&gt;0,I41-D41,0)</f>
        <v>0</v>
      </c>
      <c r="K41" s="9" t="n">
        <f aca="false">IF(D41&gt;0,J41/D41,0)</f>
        <v>0</v>
      </c>
      <c r="L41" s="7" t="n">
        <f aca="false">IF(H41="Sold",J41,0)</f>
        <v>0</v>
      </c>
      <c r="M41" s="16"/>
    </row>
    <row r="42" customFormat="false" ht="15" hidden="false" customHeight="false" outlineLevel="0" collapsed="false">
      <c r="A42" s="6"/>
      <c r="B42" s="6"/>
      <c r="C42" s="6"/>
      <c r="D42" s="7"/>
      <c r="E42" s="7" t="n">
        <f aca="false">IF(C42&gt;0,D42/C42,0)</f>
        <v>0</v>
      </c>
      <c r="F42" s="7"/>
      <c r="G42" s="7" t="n">
        <f aca="false">IF(C42&gt;0,F42/C42,0)</f>
        <v>0</v>
      </c>
      <c r="H42" s="6"/>
      <c r="I42" s="7" t="n">
        <f aca="false">IF(F42&gt;0,F42*(1-Summary!$B$4),0)</f>
        <v>0</v>
      </c>
      <c r="J42" s="7" t="n">
        <f aca="false">IF(F42&gt;0,I42-D42,0)</f>
        <v>0</v>
      </c>
      <c r="K42" s="9" t="n">
        <f aca="false">IF(D42&gt;0,J42/D42,0)</f>
        <v>0</v>
      </c>
      <c r="L42" s="7" t="n">
        <f aca="false">IF(H42="Sold",J42,0)</f>
        <v>0</v>
      </c>
      <c r="M42" s="16"/>
    </row>
    <row r="43" customFormat="false" ht="15" hidden="false" customHeight="false" outlineLevel="0" collapsed="false">
      <c r="A43" s="6"/>
      <c r="B43" s="6"/>
      <c r="C43" s="6"/>
      <c r="D43" s="7"/>
      <c r="E43" s="7" t="n">
        <f aca="false">IF(C43&gt;0,D43/C43,0)</f>
        <v>0</v>
      </c>
      <c r="F43" s="7"/>
      <c r="G43" s="7" t="n">
        <f aca="false">IF(C43&gt;0,F43/C43,0)</f>
        <v>0</v>
      </c>
      <c r="H43" s="6"/>
      <c r="I43" s="7" t="n">
        <f aca="false">IF(F43&gt;0,F43*(1-Summary!$B$4),0)</f>
        <v>0</v>
      </c>
      <c r="J43" s="7" t="n">
        <f aca="false">IF(F43&gt;0,I43-D43,0)</f>
        <v>0</v>
      </c>
      <c r="K43" s="9" t="n">
        <f aca="false">IF(D43&gt;0,J43/D43,0)</f>
        <v>0</v>
      </c>
      <c r="L43" s="7" t="n">
        <f aca="false">IF(H43="Sold",J43,0)</f>
        <v>0</v>
      </c>
      <c r="M43" s="16"/>
    </row>
    <row r="44" customFormat="false" ht="15" hidden="false" customHeight="false" outlineLevel="0" collapsed="false">
      <c r="A44" s="6"/>
      <c r="B44" s="6"/>
      <c r="C44" s="6"/>
      <c r="D44" s="7"/>
      <c r="E44" s="7" t="n">
        <f aca="false">IF(C44&gt;0,D44/C44,0)</f>
        <v>0</v>
      </c>
      <c r="F44" s="7"/>
      <c r="G44" s="7" t="n">
        <f aca="false">IF(C44&gt;0,F44/C44,0)</f>
        <v>0</v>
      </c>
      <c r="H44" s="6"/>
      <c r="I44" s="7" t="n">
        <f aca="false">IF(F44&gt;0,F44*(1-Summary!$B$4),0)</f>
        <v>0</v>
      </c>
      <c r="J44" s="7" t="n">
        <f aca="false">IF(F44&gt;0,I44-D44,0)</f>
        <v>0</v>
      </c>
      <c r="K44" s="9" t="n">
        <f aca="false">IF(D44&gt;0,J44/D44,0)</f>
        <v>0</v>
      </c>
      <c r="L44" s="7" t="n">
        <f aca="false">IF(H44="Sold",J44,0)</f>
        <v>0</v>
      </c>
      <c r="M44" s="16"/>
    </row>
    <row r="45" customFormat="false" ht="15" hidden="false" customHeight="false" outlineLevel="0" collapsed="false">
      <c r="A45" s="6"/>
      <c r="B45" s="6"/>
      <c r="C45" s="6"/>
      <c r="D45" s="7"/>
      <c r="E45" s="7" t="n">
        <f aca="false">IF(C45&gt;0,D45/C45,0)</f>
        <v>0</v>
      </c>
      <c r="F45" s="7"/>
      <c r="G45" s="7" t="n">
        <f aca="false">IF(C45&gt;0,F45/C45,0)</f>
        <v>0</v>
      </c>
      <c r="H45" s="6"/>
      <c r="I45" s="7" t="n">
        <f aca="false">IF(F45&gt;0,F45*(1-Summary!$B$4),0)</f>
        <v>0</v>
      </c>
      <c r="J45" s="7" t="n">
        <f aca="false">IF(F45&gt;0,I45-D45,0)</f>
        <v>0</v>
      </c>
      <c r="K45" s="9" t="n">
        <f aca="false">IF(D45&gt;0,J45/D45,0)</f>
        <v>0</v>
      </c>
      <c r="L45" s="7" t="n">
        <f aca="false">IF(H45="Sold",J45,0)</f>
        <v>0</v>
      </c>
      <c r="M45" s="16"/>
    </row>
    <row r="46" customFormat="false" ht="15" hidden="false" customHeight="false" outlineLevel="0" collapsed="false">
      <c r="A46" s="6"/>
      <c r="B46" s="6"/>
      <c r="C46" s="6"/>
      <c r="D46" s="7"/>
      <c r="E46" s="7" t="n">
        <f aca="false">IF(C46&gt;0,D46/C46,0)</f>
        <v>0</v>
      </c>
      <c r="F46" s="7"/>
      <c r="G46" s="7" t="n">
        <f aca="false">IF(C46&gt;0,F46/C46,0)</f>
        <v>0</v>
      </c>
      <c r="H46" s="6"/>
      <c r="I46" s="7" t="n">
        <f aca="false">IF(F46&gt;0,F46*(1-Summary!$B$4),0)</f>
        <v>0</v>
      </c>
      <c r="J46" s="7" t="n">
        <f aca="false">IF(F46&gt;0,I46-D46,0)</f>
        <v>0</v>
      </c>
      <c r="K46" s="9" t="n">
        <f aca="false">IF(D46&gt;0,J46/D46,0)</f>
        <v>0</v>
      </c>
      <c r="L46" s="7" t="n">
        <f aca="false">IF(H46="Sold",J46,0)</f>
        <v>0</v>
      </c>
      <c r="M46" s="16"/>
    </row>
    <row r="47" customFormat="false" ht="15" hidden="false" customHeight="false" outlineLevel="0" collapsed="false">
      <c r="A47" s="6"/>
      <c r="B47" s="6"/>
      <c r="C47" s="6"/>
      <c r="D47" s="7"/>
      <c r="E47" s="7" t="n">
        <f aca="false">IF(C47&gt;0,D47/C47,0)</f>
        <v>0</v>
      </c>
      <c r="F47" s="7"/>
      <c r="G47" s="7" t="n">
        <f aca="false">IF(C47&gt;0,F47/C47,0)</f>
        <v>0</v>
      </c>
      <c r="H47" s="6"/>
      <c r="I47" s="7" t="n">
        <f aca="false">IF(F47&gt;0,F47*(1-Summary!$B$4),0)</f>
        <v>0</v>
      </c>
      <c r="J47" s="7" t="n">
        <f aca="false">IF(F47&gt;0,I47-D47,0)</f>
        <v>0</v>
      </c>
      <c r="K47" s="9" t="n">
        <f aca="false">IF(D47&gt;0,J47/D47,0)</f>
        <v>0</v>
      </c>
      <c r="L47" s="7" t="n">
        <f aca="false">IF(H47="Sold",J47,0)</f>
        <v>0</v>
      </c>
      <c r="M47" s="16"/>
    </row>
    <row r="48" customFormat="false" ht="15" hidden="false" customHeight="false" outlineLevel="0" collapsed="false">
      <c r="A48" s="6"/>
      <c r="B48" s="6"/>
      <c r="C48" s="6"/>
      <c r="D48" s="7"/>
      <c r="E48" s="7" t="n">
        <f aca="false">IF(C48&gt;0,D48/C48,0)</f>
        <v>0</v>
      </c>
      <c r="F48" s="7"/>
      <c r="G48" s="7" t="n">
        <f aca="false">IF(C48&gt;0,F48/C48,0)</f>
        <v>0</v>
      </c>
      <c r="H48" s="6"/>
      <c r="I48" s="7" t="n">
        <f aca="false">IF(F48&gt;0,F48*(1-Summary!$B$4),0)</f>
        <v>0</v>
      </c>
      <c r="J48" s="7" t="n">
        <f aca="false">IF(F48&gt;0,I48-D48,0)</f>
        <v>0</v>
      </c>
      <c r="K48" s="9" t="n">
        <f aca="false">IF(D48&gt;0,J48/D48,0)</f>
        <v>0</v>
      </c>
      <c r="L48" s="7" t="n">
        <f aca="false">IF(H48="Sold",J48,0)</f>
        <v>0</v>
      </c>
      <c r="M48" s="16"/>
    </row>
    <row r="49" customFormat="false" ht="15" hidden="false" customHeight="false" outlineLevel="0" collapsed="false">
      <c r="A49" s="6"/>
      <c r="B49" s="6"/>
      <c r="C49" s="6"/>
      <c r="D49" s="7"/>
      <c r="E49" s="7" t="n">
        <f aca="false">IF(C49&gt;0,D49/C49,0)</f>
        <v>0</v>
      </c>
      <c r="F49" s="7"/>
      <c r="G49" s="7" t="n">
        <f aca="false">IF(C49&gt;0,F49/C49,0)</f>
        <v>0</v>
      </c>
      <c r="H49" s="6"/>
      <c r="I49" s="7" t="n">
        <f aca="false">IF(F49&gt;0,F49*(1-Summary!$B$4),0)</f>
        <v>0</v>
      </c>
      <c r="J49" s="7" t="n">
        <f aca="false">IF(F49&gt;0,I49-D49,0)</f>
        <v>0</v>
      </c>
      <c r="K49" s="9" t="n">
        <f aca="false">IF(D49&gt;0,J49/D49,0)</f>
        <v>0</v>
      </c>
      <c r="L49" s="7" t="n">
        <f aca="false">IF(H49="Sold",J49,0)</f>
        <v>0</v>
      </c>
      <c r="M49" s="16"/>
    </row>
    <row r="50" customFormat="false" ht="15" hidden="false" customHeight="false" outlineLevel="0" collapsed="false">
      <c r="A50" s="6"/>
      <c r="B50" s="6"/>
      <c r="C50" s="6"/>
      <c r="D50" s="7"/>
      <c r="E50" s="7" t="n">
        <f aca="false">IF(C50&gt;0,D50/C50,0)</f>
        <v>0</v>
      </c>
      <c r="F50" s="7"/>
      <c r="G50" s="7" t="n">
        <f aca="false">IF(C50&gt;0,F50/C50,0)</f>
        <v>0</v>
      </c>
      <c r="H50" s="6"/>
      <c r="I50" s="7" t="n">
        <f aca="false">IF(F50&gt;0,F50*(1-Summary!$B$4),0)</f>
        <v>0</v>
      </c>
      <c r="J50" s="7" t="n">
        <f aca="false">IF(F50&gt;0,I50-D50,0)</f>
        <v>0</v>
      </c>
      <c r="K50" s="9" t="n">
        <f aca="false">IF(D50&gt;0,J50/D50,0)</f>
        <v>0</v>
      </c>
      <c r="L50" s="7" t="n">
        <f aca="false">IF(H50="Sold",J50,0)</f>
        <v>0</v>
      </c>
      <c r="M50" s="16"/>
    </row>
    <row r="51" customFormat="false" ht="15" hidden="false" customHeight="false" outlineLevel="0" collapsed="false">
      <c r="A51" s="6"/>
      <c r="B51" s="6"/>
      <c r="C51" s="6"/>
      <c r="D51" s="7"/>
      <c r="E51" s="7" t="n">
        <f aca="false">IF(C51&gt;0,D51/C51,0)</f>
        <v>0</v>
      </c>
      <c r="F51" s="7"/>
      <c r="G51" s="7" t="n">
        <f aca="false">IF(C51&gt;0,F51/C51,0)</f>
        <v>0</v>
      </c>
      <c r="H51" s="6"/>
      <c r="I51" s="7" t="n">
        <f aca="false">IF(F51&gt;0,F51*(1-Summary!$B$4),0)</f>
        <v>0</v>
      </c>
      <c r="J51" s="7" t="n">
        <f aca="false">IF(F51&gt;0,I51-D51,0)</f>
        <v>0</v>
      </c>
      <c r="K51" s="9" t="n">
        <f aca="false">IF(D51&gt;0,J51/D51,0)</f>
        <v>0</v>
      </c>
      <c r="L51" s="7" t="n">
        <f aca="false">IF(H51="Sold",J51,0)</f>
        <v>0</v>
      </c>
      <c r="M51" s="16"/>
    </row>
    <row r="52" customFormat="false" ht="15" hidden="false" customHeight="false" outlineLevel="0" collapsed="false">
      <c r="A52" s="6"/>
      <c r="B52" s="6"/>
      <c r="C52" s="6"/>
      <c r="D52" s="7"/>
      <c r="E52" s="7" t="n">
        <f aca="false">IF(C52&gt;0,D52/C52,0)</f>
        <v>0</v>
      </c>
      <c r="F52" s="7"/>
      <c r="G52" s="7" t="n">
        <f aca="false">IF(C52&gt;0,F52/C52,0)</f>
        <v>0</v>
      </c>
      <c r="H52" s="6"/>
      <c r="I52" s="7" t="n">
        <f aca="false">IF(F52&gt;0,F52*(1-Summary!$B$4),0)</f>
        <v>0</v>
      </c>
      <c r="J52" s="7" t="n">
        <f aca="false">IF(F52&gt;0,I52-D52,0)</f>
        <v>0</v>
      </c>
      <c r="K52" s="9" t="n">
        <f aca="false">IF(D52&gt;0,J52/D52,0)</f>
        <v>0</v>
      </c>
      <c r="L52" s="7" t="n">
        <f aca="false">IF(H52="Sold",J52,0)</f>
        <v>0</v>
      </c>
      <c r="M52" s="16"/>
    </row>
    <row r="53" customFormat="false" ht="15" hidden="false" customHeight="false" outlineLevel="0" collapsed="false">
      <c r="A53" s="6"/>
      <c r="B53" s="6"/>
      <c r="C53" s="6"/>
      <c r="D53" s="7"/>
      <c r="E53" s="7" t="n">
        <f aca="false">IF(C53&gt;0,D53/C53,0)</f>
        <v>0</v>
      </c>
      <c r="F53" s="7"/>
      <c r="G53" s="7" t="n">
        <f aca="false">IF(C53&gt;0,F53/C53,0)</f>
        <v>0</v>
      </c>
      <c r="H53" s="6"/>
      <c r="I53" s="7" t="n">
        <f aca="false">IF(F53&gt;0,F53*(1-Summary!$B$4),0)</f>
        <v>0</v>
      </c>
      <c r="J53" s="7" t="n">
        <f aca="false">IF(F53&gt;0,I53-D53,0)</f>
        <v>0</v>
      </c>
      <c r="K53" s="9" t="n">
        <f aca="false">IF(D53&gt;0,J53/D53,0)</f>
        <v>0</v>
      </c>
      <c r="L53" s="7" t="n">
        <f aca="false">IF(H53="Sold",J53,0)</f>
        <v>0</v>
      </c>
      <c r="M53" s="16"/>
    </row>
    <row r="54" customFormat="false" ht="15" hidden="false" customHeight="false" outlineLevel="0" collapsed="false">
      <c r="A54" s="6"/>
      <c r="B54" s="6"/>
      <c r="C54" s="6"/>
      <c r="D54" s="7"/>
      <c r="E54" s="7" t="n">
        <f aca="false">IF(C54&gt;0,D54/C54,0)</f>
        <v>0</v>
      </c>
      <c r="F54" s="7"/>
      <c r="G54" s="7" t="n">
        <f aca="false">IF(C54&gt;0,F54/C54,0)</f>
        <v>0</v>
      </c>
      <c r="H54" s="6"/>
      <c r="I54" s="7" t="n">
        <f aca="false">IF(F54&gt;0,F54*(1-Summary!$B$4),0)</f>
        <v>0</v>
      </c>
      <c r="J54" s="7" t="n">
        <f aca="false">IF(F54&gt;0,I54-D54,0)</f>
        <v>0</v>
      </c>
      <c r="K54" s="9" t="n">
        <f aca="false">IF(D54&gt;0,J54/D54,0)</f>
        <v>0</v>
      </c>
      <c r="L54" s="7" t="n">
        <f aca="false">IF(H54="Sold",J54,0)</f>
        <v>0</v>
      </c>
      <c r="M54" s="16"/>
    </row>
    <row r="55" customFormat="false" ht="15" hidden="false" customHeight="false" outlineLevel="0" collapsed="false">
      <c r="A55" s="17"/>
      <c r="B55" s="18" t="s">
        <v>43</v>
      </c>
      <c r="C55" s="19" t="n">
        <f aca="false">SUM(C5:C54)</f>
        <v>4</v>
      </c>
      <c r="D55" s="20" t="n">
        <f aca="false">SUM(D5:D54)</f>
        <v>37099</v>
      </c>
      <c r="E55" s="17"/>
      <c r="F55" s="20" t="n">
        <f aca="false">SUM(F5:F54)</f>
        <v>60000</v>
      </c>
      <c r="G55" s="17"/>
      <c r="H55" s="17"/>
      <c r="I55" s="20" t="n">
        <f aca="false">SUM(I5:I54)</f>
        <v>60000</v>
      </c>
      <c r="J55" s="20" t="n">
        <f aca="false">SUM(J5:J54)</f>
        <v>22901</v>
      </c>
      <c r="K55" s="17"/>
      <c r="L55" s="20" t="n">
        <f aca="false">SUM(L5:L54)</f>
        <v>8901</v>
      </c>
      <c r="M55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2026-10-28T09:31:13Z</dcterms:created>
  <dc:creator>openpyxl</dc:creator>
  <dc:description/>
  <dc:language>en-US</dc:language>
  <cp:lastModifiedBy/>
  <dcterms:modified xsi:type="dcterms:W3CDTF">2026-10-28T09:31:16Z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